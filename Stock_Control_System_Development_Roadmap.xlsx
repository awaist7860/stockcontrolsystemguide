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842774e4f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5a3213c7b3f4ec5"/>
    <x:sheet xmlns:r="http://schemas.openxmlformats.org/officeDocument/2006/relationships" name="Roadmap" sheetId="2" r:id="Raaf9c81e96cb4249"/>
    <x:sheet xmlns:r="http://schemas.openxmlformats.org/officeDocument/2006/relationships" name="Build Pattern" sheetId="3" r:id="Rb0b437b365ba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92b549cc347a3" /><Relationship Type="http://schemas.openxmlformats.org/officeDocument/2006/relationships/theme" Target="/xl/theme/theme1.xml" Id="Re158370e588140a5" /><Relationship Type="http://schemas.openxmlformats.org/officeDocument/2006/relationships/sharedStrings" Target="/xl/sharedStrings.xml" Id="Rb932511f8fcb4691" /><Relationship Type="http://schemas.openxmlformats.org/officeDocument/2006/relationships/worksheet" Target="/xl/worksheets/sheet1.xml" Id="Rf5a3213c7b3f4ec5" /><Relationship Type="http://schemas.openxmlformats.org/officeDocument/2006/relationships/worksheet" Target="/xl/worksheets/sheet2.xml" Id="Raaf9c81e96cb4249" /><Relationship Type="http://schemas.openxmlformats.org/officeDocument/2006/relationships/worksheet" Target="/xl/worksheets/sheet3.xml" Id="Rb0b437b365ba427a" /></Relationships>
</file>

<file path=xl/tables/table1.xml><?xml version="1.0" encoding="utf-8"?>
<x:table xmlns:x="http://schemas.openxmlformats.org/spreadsheetml/2006/main" id="1" name="RoadmapTable" displayName="RoadmapTable" ref="A4:K39" headerRowCount="1" totalsRowCount="0" totalsRowShown="0">
  <x:tableColumns count="11">
    <x:tableColumn id="1" name="Step"/>
    <x:tableColumn id="2" name="Phase"/>
    <x:tableColumn id="3" name="Milestone"/>
    <x:tableColumn id="4" name="What to Build"/>
    <x:tableColumn id="5" name="Learn / Understand"/>
    <x:tableColumn id="6" name="Completion Check"/>
    <x:tableColumn id="7" name="Status"/>
    <x:tableColumn id="8" name="Done"/>
    <x:tableColumn id="9" name="Priority"/>
    <x:tableColumn id="10" name="Target Da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5d45411b6e4c9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30" customHeight="1">
      <x:c r="A1" s="25" t="str">
        <x:v>Stock Control System - Development Roadmap</x:v>
      </x:c>
      <x:c r="B1" s="25"/>
      <x:c r="C1" s="25"/>
      <x:c r="D1" s="25"/>
      <x:c r="E1" s="25"/>
      <x:c r="F1" s="25"/>
      <x:c r="G1" s="25"/>
      <x:c r="H1" s="25"/>
    </x:row>
    <x:row r="2">
      <x:c r="A2" s="26" t="str">
        <x:v>Progress dashboard - update milestone status on the Roadmap sheet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8" t="str">
        <x:v>Metric</x:v>
      </x:c>
      <x:c r="B4" s="28" t="str">
        <x:v>Value</x:v>
      </x:c>
      <x:c r="C4" s="27"/>
      <x:c r="D4" s="27"/>
      <x:c r="E4" s="27"/>
      <x:c r="F4" s="28" t="str">
        <x:v>How to use this tracker</x:v>
      </x:c>
      <x:c r="G4" s="28"/>
      <x:c r="H4" s="28"/>
      <x:c r="I4" s="19"/>
      <x:c r="J4" s="19"/>
    </x:row>
    <x:row r="5">
      <x:c r="A5" s="27" t="str">
        <x:v>Total milestones</x:v>
      </x:c>
      <x:c r="B5" s="27" t="n">
        <x:f>COUNTA(Roadmap!A5:A39)</x:f>
        <x:v>35</x:v>
      </x:c>
      <x:c r="C5" s="27"/>
      <x:c r="D5" s="27"/>
      <x:c r="E5" s="27"/>
      <x:c r="F5" s="47" t="str">
        <x:v>1. Work through the Roadmap sheet in step order.
2. Change Status to In Progress, Blocked or Complete.
3. The Done checkbox and Dashboard update automatically.
4. Add a target date and short notes when useful.
5. Finish the completion check before marking a milestone Complete.</x:v>
      </x:c>
      <x:c r="G5" s="47"/>
      <x:c r="H5" s="47"/>
      <x:c r="I5" s="47"/>
      <x:c r="J5" s="47"/>
    </x:row>
    <x:row r="6">
      <x:c r="A6" s="27" t="str">
        <x:v>Completed</x:v>
      </x:c>
      <x:c r="B6" s="27" t="n">
        <x:f>COUNTIF(Roadmap!G5:G39,"Complete")</x:f>
        <x:v>0</x:v>
      </x:c>
      <x:c r="C6" s="27"/>
      <x:c r="D6" s="27"/>
      <x:c r="E6" s="27"/>
      <x:c r="F6" s="47"/>
      <x:c r="G6" s="47"/>
      <x:c r="H6" s="47"/>
      <x:c r="I6" s="47"/>
      <x:c r="J6" s="47"/>
    </x:row>
    <x:row r="7">
      <x:c r="A7" s="27" t="str">
        <x:v>In progress</x:v>
      </x:c>
      <x:c r="B7" s="27" t="n">
        <x:f>COUNTIF(Roadmap!G5:G39,"In Progress")</x:f>
        <x:v>0</x:v>
      </x:c>
      <x:c r="C7" s="27"/>
      <x:c r="D7" s="27"/>
      <x:c r="E7" s="27"/>
      <x:c r="F7" s="47"/>
      <x:c r="G7" s="47"/>
      <x:c r="H7" s="47"/>
      <x:c r="I7" s="47"/>
      <x:c r="J7" s="47"/>
    </x:row>
    <x:row r="8">
      <x:c r="A8" s="27" t="str">
        <x:v>Overall progress</x:v>
      </x:c>
      <x:c r="B8" s="29" t="n">
        <x:f>IF(B5=0,0,B6/B5)</x:f>
        <x:v>0</x:v>
      </x:c>
      <x:c r="C8" s="27"/>
      <x:c r="D8" s="27"/>
      <x:c r="E8" s="27"/>
      <x:c r="F8" s="47"/>
      <x:c r="G8" s="47"/>
      <x:c r="H8" s="47"/>
      <x:c r="I8" s="47"/>
      <x:c r="J8" s="47"/>
    </x:row>
    <x:row r="9">
      <x:c r="A9" s="27"/>
      <x:c r="B9" s="27"/>
      <x:c r="C9" s="27"/>
      <x:c r="D9" s="27"/>
      <x:c r="E9" s="27"/>
      <x:c r="F9" s="47"/>
      <x:c r="G9" s="47"/>
      <x:c r="H9" s="47"/>
      <x:c r="I9" s="47"/>
      <x:c r="J9" s="47"/>
    </x:row>
    <x:row r="10">
      <x:c r="A10" s="27"/>
      <x:c r="B10" s="27"/>
      <x:c r="C10" s="27"/>
      <x:c r="D10" s="27"/>
      <x:c r="E10" s="27"/>
      <x:c r="F10" s="47"/>
      <x:c r="G10" s="47"/>
      <x:c r="H10" s="47"/>
      <x:c r="I10" s="47"/>
      <x:c r="J10" s="47"/>
    </x:row>
    <x:row r="11">
      <x:c r="A11" s="28" t="str">
        <x:v>Phase</x:v>
      </x:c>
      <x:c r="B11" s="28" t="str">
        <x:v>Total</x:v>
      </x:c>
      <x:c r="C11" s="28" t="str">
        <x:v>Complete</x:v>
      </x:c>
      <x:c r="D11" s="28" t="str">
        <x:v>Progress</x:v>
      </x:c>
      <x:c r="E11" s="27"/>
      <x:c r="F11" s="27"/>
      <x:c r="G11" s="27"/>
      <x:c r="H11" s="27"/>
    </x:row>
    <x:row r="12">
      <x:c r="A12" s="27" t="str">
        <x:v>Foundation</x:v>
      </x:c>
      <x:c r="B12" s="27" t="n">
        <x:f>COUNTIF(Roadmap!B$5:B$39,A12)</x:f>
        <x:v>2</x:v>
      </x:c>
      <x:c r="C12" s="27" t="n">
        <x:f>COUNTIFS(Roadmap!B$5:B$39,A12,Roadmap!G$5:G$39,"Complete")</x:f>
        <x:v>0</x:v>
      </x:c>
      <x:c r="D12" s="29" t="n">
        <x:f>IF(B12=0,0,C12/B12)</x:f>
        <x:v>0</x:v>
      </x:c>
      <x:c r="E12" s="27"/>
      <x:c r="F12" s="28" t="str">
        <x:v>Immediate target</x:v>
      </x:c>
      <x:c r="G12" s="28"/>
      <x:c r="H12" s="28"/>
      <x:c r="I12" s="19"/>
      <x:c r="J12" s="19"/>
    </x:row>
    <x:row r="13">
      <x:c r="A13" s="27" t="str">
        <x:v>Database Basics</x:v>
      </x:c>
      <x:c r="B13" s="27" t="n">
        <x:f>COUNTIF(Roadmap!B$5:B$39,A13)</x:f>
        <x:v>2</x:v>
      </x:c>
      <x:c r="C13" s="27" t="n">
        <x:f>COUNTIFS(Roadmap!B$5:B$39,A13,Roadmap!G$5:G$39,"Complete")</x:f>
        <x:v>0</x:v>
      </x:c>
      <x:c r="D13" s="29" t="n">
        <x:f>IF(B13=0,0,C13/B13)</x:f>
        <x:v>0</x:v>
      </x:c>
      <x:c r="E13" s="27"/>
      <x:c r="F13" s="47" t="str">
        <x:v>PostgreSQL Categories table → ASP.NET Core → GET /api/categories → React displays Categories → complete Category CRUD.</x:v>
      </x:c>
      <x:c r="G13" s="47"/>
      <x:c r="H13" s="47"/>
      <x:c r="I13" s="47"/>
      <x:c r="J13" s="47"/>
    </x:row>
    <x:row r="14">
      <x:c r="A14" s="27" t="str">
        <x:v>Backend Basics</x:v>
      </x:c>
      <x:c r="B14" s="27" t="n">
        <x:f>COUNTIF(Roadmap!B$5:B$39,A14)</x:f>
        <x:v>3</x:v>
      </x:c>
      <x:c r="C14" s="27" t="n">
        <x:f>COUNTIFS(Roadmap!B$5:B$39,A14,Roadmap!G$5:G$39,"Complete")</x:f>
        <x:v>0</x:v>
      </x:c>
      <x:c r="D14" s="29" t="n">
        <x:f>IF(B14=0,0,C14/B14)</x:f>
        <x:v>0</x:v>
      </x:c>
      <x:c r="E14" s="27"/>
      <x:c r="F14" s="47"/>
      <x:c r="G14" s="47"/>
      <x:c r="H14" s="47"/>
      <x:c r="I14" s="47"/>
      <x:c r="J14" s="47"/>
    </x:row>
    <x:row r="15">
      <x:c r="A15" s="27" t="str">
        <x:v>Frontend Basics</x:v>
      </x:c>
      <x:c r="B15" s="27" t="n">
        <x:f>COUNTIF(Roadmap!B$5:B$39,A15)</x:f>
        <x:v>2</x:v>
      </x:c>
      <x:c r="C15" s="27" t="n">
        <x:f>COUNTIFS(Roadmap!B$5:B$39,A15,Roadmap!G$5:G$39,"Complete")</x:f>
        <x:v>0</x:v>
      </x:c>
      <x:c r="D15" s="29" t="n">
        <x:f>IF(B15=0,0,C15/B15)</x:f>
        <x:v>0</x:v>
      </x:c>
      <x:c r="E15" s="27"/>
      <x:c r="F15" s="47"/>
      <x:c r="G15" s="47"/>
      <x:c r="H15" s="47"/>
      <x:c r="I15" s="47"/>
      <x:c r="J15" s="47"/>
    </x:row>
    <x:row r="16">
      <x:c r="A16" s="27" t="str">
        <x:v>First Vertical Slice</x:v>
      </x:c>
      <x:c r="B16" s="27" t="n">
        <x:f>COUNTIF(Roadmap!B$5:B$39,A16)</x:f>
        <x:v>1</x:v>
      </x:c>
      <x:c r="C16" s="27" t="n">
        <x:f>COUNTIFS(Roadmap!B$5:B$39,A16,Roadmap!G$5:G$39,"Complete")</x:f>
        <x:v>0</x:v>
      </x:c>
      <x:c r="D16" s="29" t="n">
        <x:f>IF(B16=0,0,C16/B16)</x:f>
        <x:v>0</x:v>
      </x:c>
      <x:c r="E16" s="27"/>
      <x:c r="F16" s="47"/>
      <x:c r="G16" s="47"/>
      <x:c r="H16" s="47"/>
      <x:c r="I16" s="47"/>
      <x:c r="J16" s="47"/>
    </x:row>
    <x:row r="17">
      <x:c r="A17" s="27" t="str">
        <x:v>Core Reference Data</x:v>
      </x:c>
      <x:c r="B17" s="27" t="n">
        <x:f>COUNTIF(Roadmap!B$5:B$39,A17)</x:f>
        <x:v>2</x:v>
      </x:c>
      <x:c r="C17" s="27" t="n">
        <x:f>COUNTIFS(Roadmap!B$5:B$39,A17,Roadmap!G$5:G$39,"Complete")</x:f>
        <x:v>0</x:v>
      </x:c>
      <x:c r="D17" s="29" t="n">
        <x:f>IF(B17=0,0,C17/B17)</x:f>
        <x:v>0</x:v>
      </x:c>
      <x:c r="E17" s="27"/>
      <x:c r="F17" s="47"/>
      <x:c r="G17" s="47"/>
      <x:c r="H17" s="47"/>
      <x:c r="I17" s="47"/>
      <x:c r="J17" s="47"/>
    </x:row>
    <x:row r="18">
      <x:c r="A18" s="27" t="str">
        <x:v>Asset Management</x:v>
      </x:c>
      <x:c r="B18" s="27" t="n">
        <x:f>COUNTIF(Roadmap!B$5:B$39,A18)</x:f>
        <x:v>4</x:v>
      </x:c>
      <x:c r="C18" s="27" t="n">
        <x:f>COUNTIFS(Roadmap!B$5:B$39,A18,Roadmap!G$5:G$39,"Complete")</x:f>
        <x:v>0</x:v>
      </x:c>
      <x:c r="D18" s="29" t="n">
        <x:f>IF(B18=0,0,C18/B18)</x:f>
        <x:v>0</x:v>
      </x:c>
      <x:c r="E18" s="27"/>
      <x:c r="F18" s="27"/>
      <x:c r="G18" s="27"/>
      <x:c r="H18" s="27"/>
    </x:row>
    <x:row r="19">
      <x:c r="A19" s="27" t="str">
        <x:v>Security</x:v>
      </x:c>
      <x:c r="B19" s="27" t="n">
        <x:f>COUNTIF(Roadmap!B$5:B$39,A19)</x:f>
        <x:v>3</x:v>
      </x:c>
      <x:c r="C19" s="27" t="n">
        <x:f>COUNTIFS(Roadmap!B$5:B$39,A19,Roadmap!G$5:G$39,"Complete")</x:f>
        <x:v>0</x:v>
      </x:c>
      <x:c r="D19" s="29" t="n">
        <x:f>IF(B19=0,0,C19/B19)</x:f>
        <x:v>0</x:v>
      </x:c>
      <x:c r="E19" s="27"/>
      <x:c r="F19" s="27"/>
      <x:c r="G19" s="27"/>
      <x:c r="H19" s="27"/>
    </x:row>
    <x:row r="20">
      <x:c r="A20" s="27" t="str">
        <x:v>Stock Management</x:v>
      </x:c>
      <x:c r="B20" s="27" t="n">
        <x:f>COUNTIF(Roadmap!B$5:B$39,A20)</x:f>
        <x:v>2</x:v>
      </x:c>
      <x:c r="C20" s="27" t="n">
        <x:f>COUNTIFS(Roadmap!B$5:B$39,A20,Roadmap!G$5:G$39,"Complete")</x:f>
        <x:v>0</x:v>
      </x:c>
      <x:c r="D20" s="29" t="n">
        <x:f>IF(B20=0,0,C20/B20)</x:f>
        <x:v>0</x:v>
      </x:c>
      <x:c r="E20" s="27"/>
      <x:c r="F20" s="27"/>
      <x:c r="G20" s="27"/>
      <x:c r="H20" s="27"/>
    </x:row>
    <x:row r="21">
      <x:c r="A21" s="27" t="str">
        <x:v>Usability</x:v>
      </x:c>
      <x:c r="B21" s="27" t="n">
        <x:f>COUNTIF(Roadmap!B$5:B$39,A21)</x:f>
        <x:v>2</x:v>
      </x:c>
      <x:c r="C21" s="27" t="n">
        <x:f>COUNTIFS(Roadmap!B$5:B$39,A21,Roadmap!G$5:G$39,"Complete")</x:f>
        <x:v>0</x:v>
      </x:c>
      <x:c r="D21" s="29" t="n">
        <x:f>IF(B21=0,0,C21/B21)</x:f>
        <x:v>0</x:v>
      </x:c>
      <x:c r="E21" s="27"/>
      <x:c r="F21" s="27"/>
      <x:c r="G21" s="27"/>
      <x:c r="H21" s="27"/>
    </x:row>
    <x:row r="22">
      <x:c r="A22" s="27" t="str">
        <x:v>Data Import</x:v>
      </x:c>
      <x:c r="B22" s="27" t="n">
        <x:f>COUNTIF(Roadmap!B$5:B$39,A22)</x:f>
        <x:v>1</x:v>
      </x:c>
      <x:c r="C22" s="27" t="n">
        <x:f>COUNTIFS(Roadmap!B$5:B$39,A22,Roadmap!G$5:G$39,"Complete")</x:f>
        <x:v>0</x:v>
      </x:c>
      <x:c r="D22" s="29" t="n">
        <x:f>IF(B22=0,0,C22/B22)</x:f>
        <x:v>0</x:v>
      </x:c>
      <x:c r="E22" s="27"/>
      <x:c r="F22" s="27"/>
      <x:c r="G22" s="27"/>
      <x:c r="H22" s="27"/>
    </x:row>
    <x:row r="23">
      <x:c r="A23" s="27" t="str">
        <x:v>Commercial Data</x:v>
      </x:c>
      <x:c r="B23" s="27" t="n">
        <x:f>COUNTIF(Roadmap!B$5:B$39,A23)</x:f>
        <x:v>2</x:v>
      </x:c>
      <x:c r="C23" s="27" t="n">
        <x:f>COUNTIFS(Roadmap!B$5:B$39,A23,Roadmap!G$5:G$39,"Complete")</x:f>
        <x:v>0</x:v>
      </x:c>
      <x:c r="D23" s="29" t="n">
        <x:f>IF(B23=0,0,C23/B23)</x:f>
        <x:v>0</x:v>
      </x:c>
      <x:c r="E23" s="27"/>
      <x:c r="F23" s="27"/>
      <x:c r="G23" s="27"/>
      <x:c r="H23" s="27"/>
    </x:row>
    <x:row r="24">
      <x:c r="A24" s="27" t="str">
        <x:v>Asset Lifecycle</x:v>
      </x:c>
      <x:c r="B24" s="27" t="n">
        <x:f>COUNTIF(Roadmap!B$5:B$39,A24)</x:f>
        <x:v>2</x:v>
      </x:c>
      <x:c r="C24" s="27" t="n">
        <x:f>COUNTIFS(Roadmap!B$5:B$39,A24,Roadmap!G$5:G$39,"Complete")</x:f>
        <x:v>0</x:v>
      </x:c>
      <x:c r="D24" s="29" t="n">
        <x:f>IF(B24=0,0,C24/B24)</x:f>
        <x:v>0</x:v>
      </x:c>
      <x:c r="E24" s="27"/>
      <x:c r="F24" s="27"/>
      <x:c r="G24" s="27"/>
      <x:c r="H24" s="27"/>
    </x:row>
    <x:row r="25">
      <x:c r="A25" s="27" t="str">
        <x:v>Reporting</x:v>
      </x:c>
      <x:c r="B25" s="27" t="n">
        <x:f>COUNTIF(Roadmap!B$5:B$39,A25)</x:f>
        <x:v>2</x:v>
      </x:c>
      <x:c r="C25" s="27" t="n">
        <x:f>COUNTIFS(Roadmap!B$5:B$39,A25,Roadmap!G$5:G$39,"Complete")</x:f>
        <x:v>0</x:v>
      </x:c>
      <x:c r="D25" s="29" t="n">
        <x:f>IF(B25=0,0,C25/B25)</x:f>
        <x:v>0</x:v>
      </x:c>
      <x:c r="E25" s="27"/>
      <x:c r="F25" s="27"/>
      <x:c r="G25" s="27"/>
      <x:c r="H25" s="27"/>
    </x:row>
    <x:row r="26">
      <x:c r="A26" s="27" t="str">
        <x:v>Quality</x:v>
      </x:c>
      <x:c r="B26" s="27" t="n">
        <x:f>COUNTIF(Roadmap!B$5:B$39,A26)</x:f>
        <x:v>1</x:v>
      </x:c>
      <x:c r="C26" s="27" t="n">
        <x:f>COUNTIFS(Roadmap!B$5:B$39,A26,Roadmap!G$5:G$39,"Complete")</x:f>
        <x:v>0</x:v>
      </x:c>
      <x:c r="D26" s="29" t="n">
        <x:f>IF(B26=0,0,C26/B26)</x:f>
        <x:v>0</x:v>
      </x:c>
      <x:c r="E26" s="27"/>
      <x:c r="F26" s="27"/>
      <x:c r="G26" s="27"/>
      <x:c r="H26" s="27"/>
    </x:row>
    <x:row r="27">
      <x:c r="A27" s="27" t="str">
        <x:v>Deployment</x:v>
      </x:c>
      <x:c r="B27" s="27" t="n">
        <x:f>COUNTIF(Roadmap!B$5:B$39,A27)</x:f>
        <x:v>2</x:v>
      </x:c>
      <x:c r="C27" s="27" t="n">
        <x:f>COUNTIFS(Roadmap!B$5:B$39,A27,Roadmap!G$5:G$39,"Complete")</x:f>
        <x:v>0</x:v>
      </x:c>
      <x:c r="D27" s="29" t="n">
        <x:f>IF(B27=0,0,C27/B27)</x:f>
        <x:v>0</x:v>
      </x:c>
      <x:c r="E27" s="27"/>
      <x:c r="F27" s="27"/>
      <x:c r="G27" s="27"/>
      <x:c r="H27" s="27"/>
    </x:row>
    <x:row r="28">
      <x:c r="A28" s="27" t="str">
        <x:v>DevOps</x:v>
      </x:c>
      <x:c r="B28" s="27" t="n">
        <x:f>COUNTIF(Roadmap!B$5:B$39,A28)</x:f>
        <x:v>1</x:v>
      </x:c>
      <x:c r="C28" s="27" t="n">
        <x:f>COUNTIFS(Roadmap!B$5:B$39,A28,Roadmap!G$5:G$39,"Complete")</x:f>
        <x:v>0</x:v>
      </x:c>
      <x:c r="D28" s="29" t="n">
        <x:f>IF(B28=0,0,C28/B28)</x:f>
        <x:v>0</x:v>
      </x:c>
      <x:c r="E28" s="27"/>
      <x:c r="F28" s="27"/>
      <x:c r="G28" s="27"/>
      <x:c r="H28" s="27"/>
    </x:row>
    <x:row r="29">
      <x:c r="A29" s="27" t="str">
        <x:v>Future</x:v>
      </x:c>
      <x:c r="B29" s="27" t="n">
        <x:f>COUNTIF(Roadmap!B$5:B$39,A29)</x:f>
        <x:v>1</x:v>
      </x:c>
      <x:c r="C29" s="27" t="n">
        <x:f>COUNTIFS(Roadmap!B$5:B$39,A29,Roadmap!G$5:G$39,"Complete")</x:f>
        <x:v>0</x:v>
      </x:c>
      <x:c r="D29" s="29" t="n">
        <x:f>IF(B29=0,0,C29/B29)</x:f>
        <x:v>0</x:v>
      </x:c>
      <x:c r="E29" s="27"/>
      <x:c r="F29" s="27"/>
      <x:c r="G29" s="27"/>
      <x:c r="H29" s="27"/>
    </x:row>
    <x:row r="30">
      <x:c r="A30" s="27"/>
      <x:c r="B30" s="27"/>
      <x:c r="C30" s="27"/>
      <x:c r="D30" s="27"/>
      <x:c r="E30" s="27"/>
      <x:c r="F30" s="27"/>
      <x:c r="G30" s="27"/>
      <x:c r="H30" s="27"/>
    </x:row>
  </x:sheetData>
  <x:mergeCells>
    <x:mergeCell ref="A1:H1"/>
    <x:mergeCell ref="A2:H2"/>
    <x:mergeCell ref="F4:J4"/>
    <x:mergeCell ref="F5:J10"/>
    <x:mergeCell ref="F12:J12"/>
    <x:mergeCell ref="F13:J17"/>
  </x:mergeCells>
  <x:conditionalFormatting sqref="D12:D29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D12:D29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9" hidden="0" customWidth="1"/>
    <x:col min="4" max="4" width="42" hidden="0" customWidth="1"/>
    <x:col min="5" max="5" width="38" hidden="0" customWidth="1"/>
    <x:col min="6" max="6" width="42" hidden="0" customWidth="1"/>
    <x:col min="7" max="7" width="15" hidden="0" customWidth="1"/>
    <x:col min="8" max="8" width="9" hidden="0" customWidth="1"/>
    <x:col min="9" max="9" width="11" hidden="0" customWidth="1"/>
    <x:col min="10" max="10" width="14" hidden="0" customWidth="1"/>
    <x:col min="11" max="11" width="32" hidden="0" customWidth="1"/>
  </x:cols>
  <x:sheetData>
    <x:row r="1" ht="30" customHeight="1">
      <x:c r="A1" s="7" t="str">
        <x:v>Stock Control System - Milestone Tracker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>
      <x:c r="A2" s="13" t="str">
        <x:v>Work vertically: complete a feature from database -&gt; API -&gt; UI before moving to the next major feature.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19" t="str">
        <x:v>Step</x:v>
      </x:c>
      <x:c r="B4" s="19" t="str">
        <x:v>Phase</x:v>
      </x:c>
      <x:c r="C4" s="19" t="str">
        <x:v>Milestone</x:v>
      </x:c>
      <x:c r="D4" s="19" t="str">
        <x:v>What to Build</x:v>
      </x:c>
      <x:c r="E4" s="19" t="str">
        <x:v>Learn / Understand</x:v>
      </x:c>
      <x:c r="F4" s="19" t="str">
        <x:v>Completion Check</x:v>
      </x:c>
      <x:c r="G4" s="19" t="str">
        <x:v>Status</x:v>
      </x:c>
      <x:c r="H4" s="19" t="str">
        <x:v>Done</x:v>
      </x:c>
      <x:c r="I4" s="19" t="str">
        <x:v>Priority</x:v>
      </x:c>
      <x:c r="J4" s="19" t="str">
        <x:v>Target Date</x:v>
      </x:c>
      <x:c r="K4" s="19" t="str">
        <x:v>Notes</x:v>
      </x:c>
    </x:row>
    <x:row r="5">
      <x:c r="A5" s="27" t="n">
        <x:v>1</x:v>
      </x:c>
      <x:c r="B5" s="27" t="str">
        <x:v>Foundation</x:v>
      </x:c>
      <x:c r="C5" s="27" t="str">
        <x:v>Preserve the legacy application</x:v>
      </x:c>
      <x:c r="D5" s="27" t="str">
        <x:v>Keep the existing WinForms project as the historical prototype and create a safe place for the rebuild.</x:v>
      </x:c>
      <x:c r="E5" s="27" t="str">
        <x:v>Git branches, legacy vs new code, preserving working software</x:v>
      </x:c>
      <x:c r="F5" s="27" t="str">
        <x:v>The old application is still available and the rebuild can be changed without breaking it.</x:v>
      </x:c>
      <x:c r="G5" s="27" t="str">
        <x:v>Not Started</x:v>
      </x:c>
      <x:c r="H5" s="39" t="str">
        <x:f>IF(G5="Complete","☑","☐")</x:f>
        <x:v>☐</x:v>
      </x:c>
      <x:c r="I5" s="27" t="str">
        <x:v>High</x:v>
      </x:c>
      <x:c r="J5" s="35"/>
      <x:c r="K5" s="27" t="str"/>
    </x:row>
    <x:row r="6">
      <x:c r="A6" s="27" t="n">
        <x:v>2</x:v>
      </x:c>
      <x:c r="B6" s="27" t="str">
        <x:v>Foundation</x:v>
      </x:c>
      <x:c r="C6" s="27" t="str">
        <x:v>Create the new project structure</x:v>
      </x:c>
      <x:c r="D6" s="27" t="str">
        <x:v>Create clean backend, frontend, database/docs and legacy areas.</x:v>
      </x:c>
      <x:c r="E6" s="27" t="str">
        <x:v>Frontend vs backend vs database; repository organisation</x:v>
      </x:c>
      <x:c r="F6" s="27" t="str">
        <x:v>A clean new project structure exists and each area has a clear purpose.</x:v>
      </x:c>
      <x:c r="G6" s="27" t="str">
        <x:v>Not Started</x:v>
      </x:c>
      <x:c r="H6" s="39" t="str">
        <x:f>IF(G6="Complete","☑","☐")</x:f>
        <x:v>☐</x:v>
      </x:c>
      <x:c r="I6" s="27" t="str">
        <x:v>High</x:v>
      </x:c>
      <x:c r="J6" s="35"/>
      <x:c r="K6" s="27" t="str"/>
    </x:row>
    <x:row r="7">
      <x:c r="A7" s="27" t="n">
        <x:v>3</x:v>
      </x:c>
      <x:c r="B7" s="27" t="str">
        <x:v>Database Basics</x:v>
      </x:c>
      <x:c r="C7" s="27" t="str">
        <x:v>Create the PostgreSQL development database</x:v>
      </x:c>
      <x:c r="D7" s="27" t="str">
        <x:v>Create a development database such as stockcontrol_dev.</x:v>
      </x:c>
      <x:c r="E7" s="27" t="str">
        <x:v>PostgreSQL server, databases, connection basics</x:v>
      </x:c>
      <x:c r="F7" s="27" t="str">
        <x:v>You can connect to the new development database with an administration tool.</x:v>
      </x:c>
      <x:c r="G7" s="27" t="str">
        <x:v>Not Started</x:v>
      </x:c>
      <x:c r="H7" s="39" t="str">
        <x:f>IF(G7="Complete","☑","☐")</x:f>
        <x:v>☐</x:v>
      </x:c>
      <x:c r="I7" s="27" t="str">
        <x:v>High</x:v>
      </x:c>
      <x:c r="J7" s="35"/>
      <x:c r="K7" s="27" t="str"/>
    </x:row>
    <x:row r="8">
      <x:c r="A8" s="27" t="n">
        <x:v>4</x:v>
      </x:c>
      <x:c r="B8" s="27" t="str">
        <x:v>Database Basics</x:v>
      </x:c>
      <x:c r="C8" s="27" t="str">
        <x:v>Create the Categories table</x:v>
      </x:c>
      <x:c r="D8" s="27" t="str">
        <x:v>Create the first simple table and add a few test categories.</x:v>
      </x:c>
      <x:c r="E8" s="27" t="str">
        <x:v>Tables, columns, primary keys, data types, SELECT/INSERT/UPDATE/DELETE</x:v>
      </x:c>
      <x:c r="F8" s="27" t="str">
        <x:v>SELECT returns the test categories correctly.</x:v>
      </x:c>
      <x:c r="G8" s="27" t="str">
        <x:v>Not Started</x:v>
      </x:c>
      <x:c r="H8" s="39" t="str">
        <x:f>IF(G8="Complete","☑","☐")</x:f>
        <x:v>☐</x:v>
      </x:c>
      <x:c r="I8" s="27" t="str">
        <x:v>High</x:v>
      </x:c>
      <x:c r="J8" s="35"/>
      <x:c r="K8" s="27" t="str"/>
    </x:row>
    <x:row r="9">
      <x:c r="A9" s="27" t="n">
        <x:v>5</x:v>
      </x:c>
      <x:c r="B9" s="27" t="str">
        <x:v>Backend Basics</x:v>
      </x:c>
      <x:c r="C9" s="27" t="str">
        <x:v>Create the ASP.NET Core Web API</x:v>
      </x:c>
      <x:c r="D9" s="27" t="str">
        <x:v>Create the backend project without trying to add the full application yet.</x:v>
      </x:c>
      <x:c r="E9" s="27" t="str">
        <x:v>ASP.NET Core project structure, Web APIs</x:v>
      </x:c>
      <x:c r="F9" s="27" t="str">
        <x:v>The API starts successfully and responds to a simple test endpoint.</x:v>
      </x:c>
      <x:c r="G9" s="27" t="str">
        <x:v>Not Started</x:v>
      </x:c>
      <x:c r="H9" s="39" t="str">
        <x:f>IF(G9="Complete","☑","☐")</x:f>
        <x:v>☐</x:v>
      </x:c>
      <x:c r="I9" s="27" t="str">
        <x:v>High</x:v>
      </x:c>
      <x:c r="J9" s="35"/>
      <x:c r="K9" s="27" t="str"/>
    </x:row>
    <x:row r="10">
      <x:c r="A10" s="27" t="n">
        <x:v>6</x:v>
      </x:c>
      <x:c r="B10" s="27" t="str">
        <x:v>Backend Basics</x:v>
      </x:c>
      <x:c r="C10" s="27" t="str">
        <x:v>Connect ASP.NET Core to PostgreSQL</x:v>
      </x:c>
      <x:c r="D10" s="27" t="str">
        <x:v>Configure the backend to access PostgreSQL through Entity Framework Core.</x:v>
      </x:c>
      <x:c r="E10" s="27" t="str">
        <x:v>Connection strings, EF Core, DbContext, dependency injection</x:v>
      </x:c>
      <x:c r="F10" s="27" t="str">
        <x:v>The backend can successfully access the development database.</x:v>
      </x:c>
      <x:c r="G10" s="27" t="str">
        <x:v>Not Started</x:v>
      </x:c>
      <x:c r="H10" s="39" t="str">
        <x:f>IF(G10="Complete","☑","☐")</x:f>
        <x:v>☐</x:v>
      </x:c>
      <x:c r="I10" s="27" t="str">
        <x:v>High</x:v>
      </x:c>
      <x:c r="J10" s="35"/>
      <x:c r="K10" s="27" t="str"/>
    </x:row>
    <x:row r="11">
      <x:c r="A11" s="27" t="n">
        <x:v>7</x:v>
      </x:c>
      <x:c r="B11" s="27" t="str">
        <x:v>Backend Basics</x:v>
      </x:c>
      <x:c r="C11" s="27" t="str">
        <x:v>Create GET /api/categories</x:v>
      </x:c>
      <x:c r="D11" s="27" t="str">
        <x:v>Read Categories through the backend and return them as JSON.</x:v>
      </x:c>
      <x:c r="E11" s="27" t="str">
        <x:v>HTTP GET, controllers, endpoints, JSON, status codes</x:v>
      </x:c>
      <x:c r="F11" s="27" t="str">
        <x:v>An API client/browser can retrieve the category list as JSON.</x:v>
      </x:c>
      <x:c r="G11" s="27" t="str">
        <x:v>Not Started</x:v>
      </x:c>
      <x:c r="H11" s="39" t="str">
        <x:f>IF(G11="Complete","☑","☐")</x:f>
        <x:v>☐</x:v>
      </x:c>
      <x:c r="I11" s="27" t="str">
        <x:v>High</x:v>
      </x:c>
      <x:c r="J11" s="35"/>
      <x:c r="K11" s="27" t="str"/>
    </x:row>
    <x:row r="12">
      <x:c r="A12" s="27" t="n">
        <x:v>8</x:v>
      </x:c>
      <x:c r="B12" s="27" t="str">
        <x:v>Frontend Basics</x:v>
      </x:c>
      <x:c r="C12" s="27" t="str">
        <x:v>Create the React + TypeScript frontend</x:v>
      </x:c>
      <x:c r="D12" s="27" t="str">
        <x:v>Create a simple frontend application and page layout.</x:v>
      </x:c>
      <x:c r="E12" s="27" t="str">
        <x:v>React components, TypeScript basics, frontend project structure</x:v>
      </x:c>
      <x:c r="F12" s="27" t="str">
        <x:v>The frontend runs successfully in a browser.</x:v>
      </x:c>
      <x:c r="G12" s="27" t="str">
        <x:v>Not Started</x:v>
      </x:c>
      <x:c r="H12" s="39" t="str">
        <x:f>IF(G12="Complete","☑","☐")</x:f>
        <x:v>☐</x:v>
      </x:c>
      <x:c r="I12" s="27" t="str">
        <x:v>High</x:v>
      </x:c>
      <x:c r="J12" s="35"/>
      <x:c r="K12" s="27" t="str"/>
    </x:row>
    <x:row r="13">
      <x:c r="A13" s="27" t="n">
        <x:v>9</x:v>
      </x:c>
      <x:c r="B13" s="27" t="str">
        <x:v>Frontend Basics</x:v>
      </x:c>
      <x:c r="C13" s="27" t="str">
        <x:v>Display Categories from the API</x:v>
      </x:c>
      <x:c r="D13" s="27" t="str">
        <x:v>Call GET /api/categories from React and render the results.</x:v>
      </x:c>
      <x:c r="E13" s="27" t="str">
        <x:v>HTTP requests, async operations, browser dev tools, JSON rendering</x:v>
      </x:c>
      <x:c r="F13" s="27" t="str">
        <x:v>Database categories appear in the browser through the API.</x:v>
      </x:c>
      <x:c r="G13" s="27" t="str">
        <x:v>Not Started</x:v>
      </x:c>
      <x:c r="H13" s="39" t="str">
        <x:f>IF(G13="Complete","☑","☐")</x:f>
        <x:v>☐</x:v>
      </x:c>
      <x:c r="I13" s="27" t="str">
        <x:v>High</x:v>
      </x:c>
      <x:c r="J13" s="35"/>
      <x:c r="K13" s="27" t="str"/>
    </x:row>
    <x:row r="14">
      <x:c r="A14" s="27" t="n">
        <x:v>10</x:v>
      </x:c>
      <x:c r="B14" s="27" t="str">
        <x:v>First Vertical Slice</x:v>
      </x:c>
      <x:c r="C14" s="27" t="str">
        <x:v>Complete Category CRUD</x:v>
      </x:c>
      <x:c r="D14" s="27" t="str">
        <x:v>Add create, view, edit and delete for Categories across database, API and UI.</x:v>
      </x:c>
      <x:c r="E14" s="27" t="str">
        <x:v>POST, PUT, DELETE, forms, validation, end-to-end CRUD</x:v>
      </x:c>
      <x:c r="F14" s="27" t="str">
        <x:v>Categories can be fully managed from the UI without direct database editing.</x:v>
      </x:c>
      <x:c r="G14" s="27" t="str">
        <x:v>Not Started</x:v>
      </x:c>
      <x:c r="H14" s="39" t="str">
        <x:f>IF(G14="Complete","☑","☐")</x:f>
        <x:v>☐</x:v>
      </x:c>
      <x:c r="I14" s="27" t="str">
        <x:v>High</x:v>
      </x:c>
      <x:c r="J14" s="35"/>
      <x:c r="K14" s="27" t="str"/>
    </x:row>
    <x:row r="15">
      <x:c r="A15" s="27" t="n">
        <x:v>11</x:v>
      </x:c>
      <x:c r="B15" s="27" t="str">
        <x:v>Core Reference Data</x:v>
      </x:c>
      <x:c r="C15" s="27" t="str">
        <x:v>Add Manufacturers</x:v>
      </x:c>
      <x:c r="D15" s="27" t="str">
        <x:v>Repeat the Category pattern for manufacturers.</x:v>
      </x:c>
      <x:c r="E15" s="27" t="str">
        <x:v>Repetition of the full vertical-slice pattern</x:v>
      </x:c>
      <x:c r="F15" s="27" t="str">
        <x:v>Manufacturers can be created, viewed, edited and deleted from the UI.</x:v>
      </x:c>
      <x:c r="G15" s="27" t="str">
        <x:v>Not Started</x:v>
      </x:c>
      <x:c r="H15" s="39" t="str">
        <x:f>IF(G15="Complete","☑","☐")</x:f>
        <x:v>☐</x:v>
      </x:c>
      <x:c r="I15" s="27" t="str">
        <x:v>High</x:v>
      </x:c>
      <x:c r="J15" s="35"/>
      <x:c r="K15" s="27" t="str"/>
    </x:row>
    <x:row r="16">
      <x:c r="A16" s="27" t="n">
        <x:v>12</x:v>
      </x:c>
      <x:c r="B16" s="27" t="str">
        <x:v>Core Reference Data</x:v>
      </x:c>
      <x:c r="C16" s="27" t="str">
        <x:v>Add Item Models and relationships</x:v>
      </x:c>
      <x:c r="D16" s="27" t="str">
        <x:v>Create Item Models linked to Manufacturer and Category.</x:v>
      </x:c>
      <x:c r="E16" s="27" t="str">
        <x:v>Foreign keys, one-to-many relationships, joins, dropdowns</x:v>
      </x:c>
      <x:c r="F16" s="27" t="str">
        <x:v>A model can be created by selecting a manufacturer and category.</x:v>
      </x:c>
      <x:c r="G16" s="27" t="str">
        <x:v>Not Started</x:v>
      </x:c>
      <x:c r="H16" s="39" t="str">
        <x:f>IF(G16="Complete","☑","☐")</x:f>
        <x:v>☐</x:v>
      </x:c>
      <x:c r="I16" s="27" t="str">
        <x:v>High</x:v>
      </x:c>
      <x:c r="J16" s="35"/>
      <x:c r="K16" s="27" t="str"/>
    </x:row>
    <x:row r="17">
      <x:c r="A17" s="27" t="n">
        <x:v>13</x:v>
      </x:c>
      <x:c r="B17" s="27" t="str">
        <x:v>Asset Management</x:v>
      </x:c>
      <x:c r="C17" s="27" t="str">
        <x:v>Build basic Assets</x:v>
      </x:c>
      <x:c r="D17" s="27" t="str">
        <x:v>Create serialized asset records with asset tag, serial number, model and status.</x:v>
      </x:c>
      <x:c r="E17" s="27" t="str">
        <x:v>Entity design, unique fields, CRUD with relationships</x:v>
      </x:c>
      <x:c r="F17" s="27" t="str">
        <x:v>Assets can be added, viewed, edited and searched.</x:v>
      </x:c>
      <x:c r="G17" s="27" t="str">
        <x:v>Not Started</x:v>
      </x:c>
      <x:c r="H17" s="39" t="str">
        <x:f>IF(G17="Complete","☑","☐")</x:f>
        <x:v>☐</x:v>
      </x:c>
      <x:c r="I17" s="27" t="str">
        <x:v>High</x:v>
      </x:c>
      <x:c r="J17" s="35"/>
      <x:c r="K17" s="27" t="str"/>
    </x:row>
    <x:row r="18">
      <x:c r="A18" s="27" t="n">
        <x:v>14</x:v>
      </x:c>
      <x:c r="B18" s="27" t="str">
        <x:v>Asset Management</x:v>
      </x:c>
      <x:c r="C18" s="27" t="str">
        <x:v>Add Organisations, Sites and Locations</x:v>
      </x:c>
      <x:c r="D18" s="27" t="str">
        <x:v>Model where assets physically belong and are stored.</x:v>
      </x:c>
      <x:c r="E18" s="27" t="str">
        <x:v>Hierarchical data and relational structure</x:v>
      </x:c>
      <x:c r="F18" s="27" t="str">
        <x:v>Each asset can be associated with a meaningful physical location.</x:v>
      </x:c>
      <x:c r="G18" s="27" t="str">
        <x:v>Not Started</x:v>
      </x:c>
      <x:c r="H18" s="39" t="str">
        <x:f>IF(G18="Complete","☑","☐")</x:f>
        <x:v>☐</x:v>
      </x:c>
      <x:c r="I18" s="27" t="str">
        <x:v>High</x:v>
      </x:c>
      <x:c r="J18" s="35"/>
      <x:c r="K18" s="27" t="str"/>
    </x:row>
    <x:row r="19">
      <x:c r="A19" s="27" t="n">
        <x:v>15</x:v>
      </x:c>
      <x:c r="B19" s="27" t="str">
        <x:v>Asset Management</x:v>
      </x:c>
      <x:c r="C19" s="27" t="str">
        <x:v>Add People</x:v>
      </x:c>
      <x:c r="D19" s="27" t="str">
        <x:v>Create people records that assets can be assigned to.</x:v>
      </x:c>
      <x:c r="E19" s="27" t="str">
        <x:v>Reference entities, basic people data</x:v>
      </x:c>
      <x:c r="F19" s="27" t="str">
        <x:v>People can be added, viewed and searched.</x:v>
      </x:c>
      <x:c r="G19" s="27" t="str">
        <x:v>Not Started</x:v>
      </x:c>
      <x:c r="H19" s="39" t="str">
        <x:f>IF(G19="Complete","☑","☐")</x:f>
        <x:v>☐</x:v>
      </x:c>
      <x:c r="I19" s="27" t="str">
        <x:v>High</x:v>
      </x:c>
      <x:c r="J19" s="35"/>
      <x:c r="K19" s="27" t="str"/>
    </x:row>
    <x:row r="20">
      <x:c r="A20" s="27" t="n">
        <x:v>16</x:v>
      </x:c>
      <x:c r="B20" s="27" t="str">
        <x:v>Asset Management</x:v>
      </x:c>
      <x:c r="C20" s="27" t="str">
        <x:v>Create Asset Assignments</x:v>
      </x:c>
      <x:c r="D20" s="27" t="str">
        <x:v>Record assignment and return history instead of overwriting the current user.</x:v>
      </x:c>
      <x:c r="E20" s="27" t="str">
        <x:v>Business workflows, history tables, backend business logic</x:v>
      </x:c>
      <x:c r="F20" s="27" t="str">
        <x:v>An asset can be assigned and returned while preserving full assignment history.</x:v>
      </x:c>
      <x:c r="G20" s="27" t="str">
        <x:v>Not Started</x:v>
      </x:c>
      <x:c r="H20" s="39" t="str">
        <x:f>IF(G20="Complete","☑","☐")</x:f>
        <x:v>☐</x:v>
      </x:c>
      <x:c r="I20" s="27" t="str">
        <x:v>High</x:v>
      </x:c>
      <x:c r="J20" s="35"/>
      <x:c r="K20" s="27" t="str"/>
    </x:row>
    <x:row r="21">
      <x:c r="A21" s="27" t="n">
        <x:v>17</x:v>
      </x:c>
      <x:c r="B21" s="27" t="str">
        <x:v>Security</x:v>
      </x:c>
      <x:c r="C21" s="27" t="str">
        <x:v>Add Authentication</x:v>
      </x:c>
      <x:c r="D21" s="27" t="str">
        <x:v>Introduce login using ASP.NET Core Identity rather than a custom password table.</x:v>
      </x:c>
      <x:c r="E21" s="27" t="str">
        <x:v>Authentication, password hashing, sessions/cookies, secure login/logout</x:v>
      </x:c>
      <x:c r="F21" s="27" t="str">
        <x:v>Unauthenticated users cannot access protected application areas.</x:v>
      </x:c>
      <x:c r="G21" s="27" t="str">
        <x:v>Not Started</x:v>
      </x:c>
      <x:c r="H21" s="39" t="str">
        <x:f>IF(G21="Complete","☑","☐")</x:f>
        <x:v>☐</x:v>
      </x:c>
      <x:c r="I21" s="27" t="str">
        <x:v>High</x:v>
      </x:c>
      <x:c r="J21" s="35"/>
      <x:c r="K21" s="27" t="str"/>
    </x:row>
    <x:row r="22">
      <x:c r="A22" s="27" t="n">
        <x:v>18</x:v>
      </x:c>
      <x:c r="B22" s="27" t="str">
        <x:v>Security</x:v>
      </x:c>
      <x:c r="C22" s="27" t="str">
        <x:v>Add Roles and Authorization</x:v>
      </x:c>
      <x:c r="D22" s="27" t="str">
        <x:v>Create roles such as Administrator, Technician and ReadOnly and enforce them in the API.</x:v>
      </x:c>
      <x:c r="E22" s="27" t="str">
        <x:v>Authorization, role/policy checks, server-side permissions</x:v>
      </x:c>
      <x:c r="F22" s="27" t="str">
        <x:v>A user cannot perform an API action they do not have permission for.</x:v>
      </x:c>
      <x:c r="G22" s="27" t="str">
        <x:v>Not Started</x:v>
      </x:c>
      <x:c r="H22" s="39" t="str">
        <x:f>IF(G22="Complete","☑","☐")</x:f>
        <x:v>☐</x:v>
      </x:c>
      <x:c r="I22" s="27" t="str">
        <x:v>High</x:v>
      </x:c>
      <x:c r="J22" s="35"/>
      <x:c r="K22" s="27" t="str"/>
    </x:row>
    <x:row r="23">
      <x:c r="A23" s="27" t="n">
        <x:v>19</x:v>
      </x:c>
      <x:c r="B23" s="27" t="str">
        <x:v>Security</x:v>
      </x:c>
      <x:c r="C23" s="27" t="str">
        <x:v>Add Audit Logging</x:v>
      </x:c>
      <x:c r="D23" s="27" t="str">
        <x:v>Record important changes with user, entity, timestamp and before/after information.</x:v>
      </x:c>
      <x:c r="E23" s="27" t="str">
        <x:v>Traceability, auditing, accountability</x:v>
      </x:c>
      <x:c r="F23" s="27" t="str">
        <x:v>Important changes can be traced back to who made them and when.</x:v>
      </x:c>
      <x:c r="G23" s="27" t="str">
        <x:v>Not Started</x:v>
      </x:c>
      <x:c r="H23" s="39" t="str">
        <x:f>IF(G23="Complete","☑","☐")</x:f>
        <x:v>☐</x:v>
      </x:c>
      <x:c r="I23" s="27" t="str">
        <x:v>High</x:v>
      </x:c>
      <x:c r="J23" s="35"/>
      <x:c r="K23" s="27" t="str"/>
    </x:row>
    <x:row r="24">
      <x:c r="A24" s="27" t="n">
        <x:v>20</x:v>
      </x:c>
      <x:c r="B24" s="27" t="str">
        <x:v>Stock Management</x:v>
      </x:c>
      <x:c r="C24" s="27" t="str">
        <x:v>Add quantity-based Stock</x:v>
      </x:c>
      <x:c r="D24" s="27" t="str">
        <x:v>Add stock balances for consumable/non-serialized items.</x:v>
      </x:c>
      <x:c r="E24" s="27" t="str">
        <x:v>Serialized assets vs quantity stock</x:v>
      </x:c>
      <x:c r="F24" s="27" t="str">
        <x:v>The system can show quantities of stock items by location.</x:v>
      </x:c>
      <x:c r="G24" s="27" t="str">
        <x:v>Not Started</x:v>
      </x:c>
      <x:c r="H24" s="39" t="str">
        <x:f>IF(G24="Complete","☑","☐")</x:f>
        <x:v>☐</x:v>
      </x:c>
      <x:c r="I24" s="27" t="str">
        <x:v>High</x:v>
      </x:c>
      <x:c r="J24" s="35"/>
      <x:c r="K24" s="27" t="str"/>
    </x:row>
    <x:row r="25">
      <x:c r="A25" s="27" t="n">
        <x:v>21</x:v>
      </x:c>
      <x:c r="B25" s="27" t="str">
        <x:v>Stock Management</x:v>
      </x:c>
      <x:c r="C25" s="27" t="str">
        <x:v>Add Stock Movements</x:v>
      </x:c>
      <x:c r="D25" s="27" t="str">
        <x:v>Record receive, issue, return, transfer, adjustment and disposal transactions.</x:v>
      </x:c>
      <x:c r="E25" s="27" t="str">
        <x:v>Ledger/event history, transactional business logic</x:v>
      </x:c>
      <x:c r="F25" s="27" t="str">
        <x:v>Current stock can be explained from its movement history.</x:v>
      </x:c>
      <x:c r="G25" s="27" t="str">
        <x:v>Not Started</x:v>
      </x:c>
      <x:c r="H25" s="39" t="str">
        <x:f>IF(G25="Complete","☑","☐")</x:f>
        <x:v>☐</x:v>
      </x:c>
      <x:c r="I25" s="27" t="str">
        <x:v>High</x:v>
      </x:c>
      <x:c r="J25" s="35"/>
      <x:c r="K25" s="27" t="str"/>
    </x:row>
    <x:row r="26">
      <x:c r="A26" s="27" t="n">
        <x:v>22</x:v>
      </x:c>
      <x:c r="B26" s="27" t="str">
        <x:v>Usability</x:v>
      </x:c>
      <x:c r="C26" s="27" t="str">
        <x:v>Improve Search</x:v>
      </x:c>
      <x:c r="D26" s="27" t="str">
        <x:v>Create useful search across asset tag, serial, barcode, model, person and location.</x:v>
      </x:c>
      <x:c r="E26" s="27" t="str">
        <x:v>Search UX, query design, filtering</x:v>
      </x:c>
      <x:c r="F26" s="27" t="str">
        <x:v>Users can find common records quickly without knowing database structure.</x:v>
      </x:c>
      <x:c r="G26" s="27" t="str">
        <x:v>Not Started</x:v>
      </x:c>
      <x:c r="H26" s="39" t="str">
        <x:f>IF(G26="Complete","☑","☐")</x:f>
        <x:v>☐</x:v>
      </x:c>
      <x:c r="I26" s="27" t="str">
        <x:v>Medium</x:v>
      </x:c>
      <x:c r="J26" s="35"/>
      <x:c r="K26" s="27" t="str"/>
    </x:row>
    <x:row r="27">
      <x:c r="A27" s="27" t="n">
        <x:v>23</x:v>
      </x:c>
      <x:c r="B27" s="27" t="str">
        <x:v>Usability</x:v>
      </x:c>
      <x:c r="C27" s="27" t="str">
        <x:v>Add Barcode Scanning</x:v>
      </x:c>
      <x:c r="D27" s="27" t="str">
        <x:v>Use barcode input to open assets and speed up assignment/stock workflows.</x:v>
      </x:c>
      <x:c r="E27" s="27" t="str">
        <x:v>Scanner-as-keyboard workflows, lookup endpoints</x:v>
      </x:c>
      <x:c r="F27" s="27" t="str">
        <x:v>Scanning a known barcode takes the user directly to the correct record/workflow.</x:v>
      </x:c>
      <x:c r="G27" s="27" t="str">
        <x:v>Not Started</x:v>
      </x:c>
      <x:c r="H27" s="39" t="str">
        <x:f>IF(G27="Complete","☑","☐")</x:f>
        <x:v>☐</x:v>
      </x:c>
      <x:c r="I27" s="27" t="str">
        <x:v>Medium</x:v>
      </x:c>
      <x:c r="J27" s="35"/>
      <x:c r="K27" s="27" t="str"/>
    </x:row>
    <x:row r="28">
      <x:c r="A28" s="27" t="n">
        <x:v>24</x:v>
      </x:c>
      <x:c r="B28" s="27" t="str">
        <x:v>Data Import</x:v>
      </x:c>
      <x:c r="C28" s="27" t="str">
        <x:v>Add Spreadsheet Import</x:v>
      </x:c>
      <x:c r="D28" s="27" t="str">
        <x:v>Upload CSV/Excel, validate it, preview errors, then import approved records.</x:v>
      </x:c>
      <x:c r="E28" s="27" t="str">
        <x:v>File upload, validation, duplicate handling, safe import workflows</x:v>
      </x:c>
      <x:c r="F28" s="27" t="str">
        <x:v>Bad rows are reported before import and valid data can be imported safely.</x:v>
      </x:c>
      <x:c r="G28" s="27" t="str">
        <x:v>Not Started</x:v>
      </x:c>
      <x:c r="H28" s="39" t="str">
        <x:f>IF(G28="Complete","☑","☐")</x:f>
        <x:v>☐</x:v>
      </x:c>
      <x:c r="I28" s="27" t="str">
        <x:v>Medium</x:v>
      </x:c>
      <x:c r="J28" s="35"/>
      <x:c r="K28" s="27" t="str"/>
    </x:row>
    <x:row r="29">
      <x:c r="A29" s="27" t="n">
        <x:v>25</x:v>
      </x:c>
      <x:c r="B29" s="27" t="str">
        <x:v>Commercial Data</x:v>
      </x:c>
      <x:c r="C29" s="27" t="str">
        <x:v>Add Suppliers</x:v>
      </x:c>
      <x:c r="D29" s="27" t="str">
        <x:v>Create supplier records and link them to assets/purchases.</x:v>
      </x:c>
      <x:c r="E29" s="27" t="str">
        <x:v>Supplier reference data and relationships</x:v>
      </x:c>
      <x:c r="F29" s="27" t="str">
        <x:v>Suppliers can be managed and referenced by other modules.</x:v>
      </x:c>
      <x:c r="G29" s="27" t="str">
        <x:v>Not Started</x:v>
      </x:c>
      <x:c r="H29" s="39" t="str">
        <x:f>IF(G29="Complete","☑","☐")</x:f>
        <x:v>☐</x:v>
      </x:c>
      <x:c r="I29" s="27" t="str">
        <x:v>Medium</x:v>
      </x:c>
      <x:c r="J29" s="35"/>
      <x:c r="K29" s="27" t="str"/>
    </x:row>
    <x:row r="30">
      <x:c r="A30" s="27" t="n">
        <x:v>26</x:v>
      </x:c>
      <x:c r="B30" s="27" t="str">
        <x:v>Commercial Data</x:v>
      </x:c>
      <x:c r="C30" s="27" t="str">
        <x:v>Add Purchasing</x:v>
      </x:c>
      <x:c r="D30" s="27" t="str">
        <x:v>Introduce purchase orders and purchase order lines.</x:v>
      </x:c>
      <x:c r="E30" s="27" t="str">
        <x:v>Parent/child records, purchasing workflow, receiving</x:v>
      </x:c>
      <x:c r="F30" s="27" t="str">
        <x:v>A purchase order can progress from order to received stock/assets.</x:v>
      </x:c>
      <x:c r="G30" s="27" t="str">
        <x:v>Not Started</x:v>
      </x:c>
      <x:c r="H30" s="39" t="str">
        <x:f>IF(G30="Complete","☑","☐")</x:f>
        <x:v>☐</x:v>
      </x:c>
      <x:c r="I30" s="27" t="str">
        <x:v>Medium</x:v>
      </x:c>
      <x:c r="J30" s="35"/>
      <x:c r="K30" s="27" t="str"/>
    </x:row>
    <x:row r="31">
      <x:c r="A31" s="27" t="n">
        <x:v>27</x:v>
      </x:c>
      <x:c r="B31" s="27" t="str">
        <x:v>Asset Lifecycle</x:v>
      </x:c>
      <x:c r="C31" s="27" t="str">
        <x:v>Add Repairs</x:v>
      </x:c>
      <x:c r="D31" s="27" t="str">
        <x:v>Track faults, repair status, cost and resolution for assets.</x:v>
      </x:c>
      <x:c r="E31" s="27" t="str">
        <x:v>Lifecycle history, state transitions</x:v>
      </x:c>
      <x:c r="F31" s="27" t="str">
        <x:v>An asset retains a complete repair history.</x:v>
      </x:c>
      <x:c r="G31" s="27" t="str">
        <x:v>Not Started</x:v>
      </x:c>
      <x:c r="H31" s="39" t="str">
        <x:f>IF(G31="Complete","☑","☐")</x:f>
        <x:v>☐</x:v>
      </x:c>
      <x:c r="I31" s="27" t="str">
        <x:v>Medium</x:v>
      </x:c>
      <x:c r="J31" s="35"/>
      <x:c r="K31" s="27" t="str"/>
    </x:row>
    <x:row r="32">
      <x:c r="A32" s="27" t="n">
        <x:v>28</x:v>
      </x:c>
      <x:c r="B32" s="27" t="str">
        <x:v>Asset Lifecycle</x:v>
      </x:c>
      <x:c r="C32" s="27" t="str">
        <x:v>Add Disposal</x:v>
      </x:c>
      <x:c r="D32" s="27" t="str">
        <x:v>Create a controlled disposal workflow without deleting historical records.</x:v>
      </x:c>
      <x:c r="E32" s="27" t="str">
        <x:v>Soft lifecycle completion, records retention</x:v>
      </x:c>
      <x:c r="F32" s="27" t="str">
        <x:v>Disposed assets remain reportable with disposal details.</x:v>
      </x:c>
      <x:c r="G32" s="27" t="str">
        <x:v>Not Started</x:v>
      </x:c>
      <x:c r="H32" s="39" t="str">
        <x:f>IF(G32="Complete","☑","☐")</x:f>
        <x:v>☐</x:v>
      </x:c>
      <x:c r="I32" s="27" t="str">
        <x:v>Medium</x:v>
      </x:c>
      <x:c r="J32" s="35"/>
      <x:c r="K32" s="27" t="str"/>
    </x:row>
    <x:row r="33">
      <x:c r="A33" s="27" t="n">
        <x:v>29</x:v>
      </x:c>
      <x:c r="B33" s="27" t="str">
        <x:v>Reporting</x:v>
      </x:c>
      <x:c r="C33" s="27" t="str">
        <x:v>Create the Dashboard</x:v>
      </x:c>
      <x:c r="D33" s="27" t="str">
        <x:v>Show useful live totals, recent activity, repair counts and low-stock indicators.</x:v>
      </x:c>
      <x:c r="E33" s="27" t="str">
        <x:v>Aggregation, dashboard design, useful KPIs</x:v>
      </x:c>
      <x:c r="F33" s="27" t="str">
        <x:v>Dashboard values are calculated from real application data.</x:v>
      </x:c>
      <x:c r="G33" s="27" t="str">
        <x:v>Not Started</x:v>
      </x:c>
      <x:c r="H33" s="39" t="str">
        <x:f>IF(G33="Complete","☑","☐")</x:f>
        <x:v>☐</x:v>
      </x:c>
      <x:c r="I33" s="27" t="str">
        <x:v>Medium</x:v>
      </x:c>
      <x:c r="J33" s="35"/>
      <x:c r="K33" s="27" t="str"/>
    </x:row>
    <x:row r="34">
      <x:c r="A34" s="27" t="n">
        <x:v>30</x:v>
      </x:c>
      <x:c r="B34" s="27" t="str">
        <x:v>Reporting</x:v>
      </x:c>
      <x:c r="C34" s="27" t="str">
        <x:v>Add Reports and Export</x:v>
      </x:c>
      <x:c r="D34" s="27" t="str">
        <x:v>Add operational reports and later CSV/Excel/PDF/print output.</x:v>
      </x:c>
      <x:c r="E34" s="27" t="str">
        <x:v>Reporting queries, aggregation, exports</x:v>
      </x:c>
      <x:c r="F34" s="27" t="str">
        <x:v>Core management questions can be answered without querying the database manually.</x:v>
      </x:c>
      <x:c r="G34" s="27" t="str">
        <x:v>Not Started</x:v>
      </x:c>
      <x:c r="H34" s="39" t="str">
        <x:f>IF(G34="Complete","☑","☐")</x:f>
        <x:v>☐</x:v>
      </x:c>
      <x:c r="I34" s="27" t="str">
        <x:v>Medium</x:v>
      </x:c>
      <x:c r="J34" s="35"/>
      <x:c r="K34" s="27" t="str"/>
    </x:row>
    <x:row r="35">
      <x:c r="A35" s="27" t="n">
        <x:v>31</x:v>
      </x:c>
      <x:c r="B35" s="27" t="str">
        <x:v>Quality</x:v>
      </x:c>
      <x:c r="C35" s="27" t="str">
        <x:v>Expand Automated Testing</x:v>
      </x:c>
      <x:c r="D35" s="27" t="str">
        <x:v>Add tests for important business rules and permissions.</x:v>
      </x:c>
      <x:c r="E35" s="27" t="str">
        <x:v>Unit/integration testing, regression prevention</x:v>
      </x:c>
      <x:c r="F35" s="27" t="str">
        <x:v>Critical workflows have repeatable automated tests.</x:v>
      </x:c>
      <x:c r="G35" s="27" t="str">
        <x:v>Not Started</x:v>
      </x:c>
      <x:c r="H35" s="39" t="str">
        <x:f>IF(G35="Complete","☑","☐")</x:f>
        <x:v>☐</x:v>
      </x:c>
      <x:c r="I35" s="27" t="str">
        <x:v>Medium</x:v>
      </x:c>
      <x:c r="J35" s="35"/>
      <x:c r="K35" s="27" t="str"/>
    </x:row>
    <x:row r="36">
      <x:c r="A36" s="27" t="n">
        <x:v>32</x:v>
      </x:c>
      <x:c r="B36" s="27" t="str">
        <x:v>Deployment</x:v>
      </x:c>
      <x:c r="C36" s="27" t="str">
        <x:v>Containerise with Docker</x:v>
      </x:c>
      <x:c r="D36" s="27" t="str">
        <x:v>Containerise the frontend, API and PostgreSQL development/test stack.</x:v>
      </x:c>
      <x:c r="E36" s="27" t="str">
        <x:v>Images, containers, Docker Compose, environment configuration</x:v>
      </x:c>
      <x:c r="F36" s="27" t="str">
        <x:v>The application stack can be started consistently with Docker.</x:v>
      </x:c>
      <x:c r="G36" s="27" t="str">
        <x:v>Not Started</x:v>
      </x:c>
      <x:c r="H36" s="39" t="str">
        <x:f>IF(G36="Complete","☑","☐")</x:f>
        <x:v>☐</x:v>
      </x:c>
      <x:c r="I36" s="27" t="str">
        <x:v>Low</x:v>
      </x:c>
      <x:c r="J36" s="35"/>
      <x:c r="K36" s="27" t="str"/>
    </x:row>
    <x:row r="37">
      <x:c r="A37" s="27" t="n">
        <x:v>33</x:v>
      </x:c>
      <x:c r="B37" s="27" t="str">
        <x:v>Deployment</x:v>
      </x:c>
      <x:c r="C37" s="27" t="str">
        <x:v>Deploy to an Ubuntu test server</x:v>
      </x:c>
      <x:c r="D37" s="27" t="str">
        <x:v>Run the application behind HTTPS/reverse proxy on a Linux VM.</x:v>
      </x:c>
      <x:c r="E37" s="27" t="str">
        <x:v>Linux hosting, reverse proxy, TLS, environment separation</x:v>
      </x:c>
      <x:c r="F37" s="27" t="str">
        <x:v>The application works from another device without exposing PostgreSQL directly.</x:v>
      </x:c>
      <x:c r="G37" s="27" t="str">
        <x:v>Not Started</x:v>
      </x:c>
      <x:c r="H37" s="39" t="str">
        <x:f>IF(G37="Complete","☑","☐")</x:f>
        <x:v>☐</x:v>
      </x:c>
      <x:c r="I37" s="27" t="str">
        <x:v>Low</x:v>
      </x:c>
      <x:c r="J37" s="35"/>
      <x:c r="K37" s="27" t="str"/>
    </x:row>
    <x:row r="38">
      <x:c r="A38" s="27" t="n">
        <x:v>34</x:v>
      </x:c>
      <x:c r="B38" s="27" t="str">
        <x:v>DevOps</x:v>
      </x:c>
      <x:c r="C38" s="27" t="str">
        <x:v>Add CI/CD</x:v>
      </x:c>
      <x:c r="D38" s="27" t="str">
        <x:v>Automate build, tests, container creation and test deployment from GitHub.</x:v>
      </x:c>
      <x:c r="E38" s="27" t="str">
        <x:v>GitHub Actions, build pipelines, deployment automation</x:v>
      </x:c>
      <x:c r="F38" s="27" t="str">
        <x:v>A normal code push can run validation and deploy to the test environment automatically.</x:v>
      </x:c>
      <x:c r="G38" s="27" t="str">
        <x:v>Not Started</x:v>
      </x:c>
      <x:c r="H38" s="39" t="str">
        <x:f>IF(G38="Complete","☑","☐")</x:f>
        <x:v>☐</x:v>
      </x:c>
      <x:c r="I38" s="27" t="str">
        <x:v>Low</x:v>
      </x:c>
      <x:c r="J38" s="35"/>
      <x:c r="K38" s="27" t="str"/>
    </x:row>
    <x:row r="39">
      <x:c r="A39" s="27" t="n">
        <x:v>35</x:v>
      </x:c>
      <x:c r="B39" s="27" t="str">
        <x:v>Future</x:v>
      </x:c>
      <x:c r="C39" s="27" t="str">
        <x:v>Evaluate advanced integrations</x:v>
      </x:c>
      <x:c r="D39" s="27" t="str">
        <x:v>Only after the core system is stable, consider Entra ID, notifications, mobile/scanner UI, Power BI and other integrations.</x:v>
      </x:c>
      <x:c r="E39" s="27" t="str">
        <x:v>Integration planning and avoiding premature complexity</x:v>
      </x:c>
      <x:c r="F39" s="27" t="str">
        <x:v>Each proposed integration has a clear business reason and can be added without destabilising the core system.</x:v>
      </x:c>
      <x:c r="G39" s="27" t="str">
        <x:v>Not Started</x:v>
      </x:c>
      <x:c r="H39" s="39" t="str">
        <x:f>IF(G39="Complete","☑","☐")</x:f>
        <x:v>☐</x:v>
      </x:c>
      <x:c r="I39" s="27" t="str">
        <x:v>Low</x:v>
      </x:c>
      <x:c r="J39" s="35"/>
      <x:c r="K39" s="27" t="str"/>
    </x:row>
  </x:sheetData>
  <x:mergeCells>
    <x:mergeCell ref="A1:K1"/>
    <x:mergeCell ref="A2:K2"/>
  </x:mergeCells>
  <x:conditionalFormatting sqref="G5:G39">
    <x:cfRule type="expression" dxfId="0" priority="1">
      <x:formula>G5="Complete"</x:formula>
    </x:cfRule>
    <x:cfRule type="expression" dxfId="1" priority="2">
      <x:formula>G5="In Progress"</x:formula>
    </x:cfRule>
    <x:cfRule type="expression" dxfId="2" priority="3">
      <x:formula>G5="Blocked"</x:formula>
    </x:cfRule>
  </x:conditionalFormatting>
  <x:conditionalFormatting sqref="H5:H39">
    <x:cfRule type="expression" dxfId="3" priority="4">
      <x:formula>H5="☑"</x:formula>
    </x:cfRule>
  </x:conditionalFormatting>
  <x:dataValidations count="3">
    <x:dataValidation type="list" sqref="G5:G39">
      <x:formula1>"Not Started,In Progress,Blocked,Complete"</x:formula1>
    </x:dataValidation>
    <x:dataValidation type="list" sqref="H5:H39">
      <x:formula1>"☐,☑"</x:formula1>
    </x:dataValidation>
    <x:dataValidation type="list" sqref="I5:I3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d45411b6e4c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34" hidden="0" customWidth="1"/>
    <x:col min="5" max="5" width="38" hidden="0" customWidth="1"/>
    <x:col min="6" max="6" width="28" hidden="0" customWidth="1"/>
  </x:cols>
  <x:sheetData>
    <x:row r="1" ht="30" customHeight="1">
      <x:c r="A1" s="25" t="str">
        <x:v>The Vertical Build Pattern</x:v>
      </x:c>
      <x:c r="B1" s="25"/>
      <x:c r="C1" s="25"/>
      <x:c r="D1" s="25"/>
      <x:c r="E1" s="25"/>
      <x:c r="F1" s="25"/>
    </x:row>
    <x:row r="2">
      <x:c r="A2" s="26" t="str">
        <x:v>Use this same pattern repeatedly for Categories, Manufacturers, Assets, People, Locations and other modules.</x:v>
      </x:c>
      <x:c r="B2" s="26"/>
      <x:c r="C2" s="26"/>
      <x:c r="D2" s="26"/>
      <x:c r="E2" s="26"/>
      <x:c r="F2" s="26"/>
    </x:row>
    <x:row r="3">
      <x:c r="A3" s="27"/>
      <x:c r="B3" s="27"/>
      <x:c r="C3" s="27"/>
      <x:c r="D3" s="27"/>
      <x:c r="E3" s="27"/>
      <x:c r="F3" s="27"/>
    </x:row>
    <x:row r="4">
      <x:c r="A4" s="28" t="str">
        <x:v>Order</x:v>
      </x:c>
      <x:c r="B4" s="28" t="str">
        <x:v>Layer</x:v>
      </x:c>
      <x:c r="C4" s="28" t="str">
        <x:v>Question to Answer</x:v>
      </x:c>
      <x:c r="D4" s="28" t="str">
        <x:v>Typical Output</x:v>
      </x:c>
      <x:c r="E4" s="28" t="str">
        <x:v>Do Not Move On Until</x:v>
      </x:c>
      <x:c r="F4" s="28" t="str">
        <x:v>Notes</x:v>
      </x:c>
    </x:row>
    <x:row r="5">
      <x:c r="A5" s="27" t="n">
        <x:v>1</x:v>
      </x:c>
      <x:c r="B5" s="27" t="str">
        <x:v>Database</x:v>
      </x:c>
      <x:c r="C5" s="27" t="str">
        <x:v>What data must exist and how is it related?</x:v>
      </x:c>
      <x:c r="D5" s="27" t="str">
        <x:v>Table/entity + test records</x:v>
      </x:c>
      <x:c r="E5" s="27" t="str">
        <x:v>You can query the data successfully.</x:v>
      </x:c>
      <x:c r="F5" s="27" t="str"/>
    </x:row>
    <x:row r="6">
      <x:c r="A6" s="27" t="n">
        <x:v>2</x:v>
      </x:c>
      <x:c r="B6" s="27" t="str">
        <x:v>Backend data access</x:v>
      </x:c>
      <x:c r="C6" s="27" t="str">
        <x:v>Can the backend safely read/write that data?</x:v>
      </x:c>
      <x:c r="D6" s="27" t="str">
        <x:v>EF Core entity/DbContext/service</x:v>
      </x:c>
      <x:c r="E6" s="27" t="str">
        <x:v>Backend can access the data.</x:v>
      </x:c>
      <x:c r="F6" s="27" t="str"/>
    </x:row>
    <x:row r="7">
      <x:c r="A7" s="27" t="n">
        <x:v>3</x:v>
      </x:c>
      <x:c r="B7" s="27" t="str">
        <x:v>API</x:v>
      </x:c>
      <x:c r="C7" s="27" t="str">
        <x:v>How will a client ask for or change the data?</x:v>
      </x:c>
      <x:c r="D7" s="27" t="str">
        <x:v>GET/POST/PUT/DELETE endpoints</x:v>
      </x:c>
      <x:c r="E7" s="27" t="str">
        <x:v>Endpoints behave correctly in an API client.</x:v>
      </x:c>
      <x:c r="F7" s="27" t="str"/>
    </x:row>
    <x:row r="8">
      <x:c r="A8" s="27" t="n">
        <x:v>4</x:v>
      </x:c>
      <x:c r="B8" s="27" t="str">
        <x:v>Frontend</x:v>
      </x:c>
      <x:c r="C8" s="27" t="str">
        <x:v>How will a user view and change the data?</x:v>
      </x:c>
      <x:c r="D8" s="27" t="str">
        <x:v>Page, table, form, validation</x:v>
      </x:c>
      <x:c r="E8" s="27" t="str">
        <x:v>The workflow works without direct DB access.</x:v>
      </x:c>
      <x:c r="F8" s="27" t="str"/>
    </x:row>
    <x:row r="9">
      <x:c r="A9" s="27" t="n">
        <x:v>5</x:v>
      </x:c>
      <x:c r="B9" s="27" t="str">
        <x:v>Rules/security</x:v>
      </x:c>
      <x:c r="C9" s="27" t="str">
        <x:v>What must be validated or restricted?</x:v>
      </x:c>
      <x:c r="D9" s="27" t="str">
        <x:v>Business rules and authorization</x:v>
      </x:c>
      <x:c r="E9" s="27" t="str">
        <x:v>Invalid/unauthorised actions are rejected by the backend.</x:v>
      </x:c>
      <x:c r="F9" s="27" t="str"/>
    </x:row>
    <x:row r="10">
      <x:c r="A10" s="27" t="n">
        <x:v>6</x:v>
      </x:c>
      <x:c r="B10" s="27" t="str">
        <x:v>Tests</x:v>
      </x:c>
      <x:c r="C10" s="27" t="str">
        <x:v>How will you know it still works later?</x:v>
      </x:c>
      <x:c r="D10" s="27" t="str">
        <x:v>Focused tests</x:v>
      </x:c>
      <x:c r="E10" s="27" t="str">
        <x:v>Critical behaviour is repeatable and testable.</x:v>
      </x:c>
      <x:c r="F10" s="27" t="str"/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</x:sheetData>
  <x:mergeCells>
    <x:mergeCell ref="A1:F1"/>
    <x:mergeCell ref="A2:F2"/>
  </x:mergeCells>
  <x:pageMargins left="0.7" right="0.7" top="0.75" bottom="0.75" header="0.3" footer="0.3"/>
</x:worksheet>
</file>